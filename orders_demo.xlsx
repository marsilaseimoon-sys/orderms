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Rs &quot;#,##0.0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65F46"/>
      <sz val="10"/>
    </font>
    <font>
      <name val="Arial"/>
      <b val="1"/>
      <color rgb="005B21B6"/>
      <sz val="10"/>
    </font>
    <font>
      <name val="Arial"/>
      <b val="1"/>
      <color rgb="0092400E"/>
      <sz val="10"/>
    </font>
    <font>
      <name val="Arial"/>
      <b val="1"/>
      <color rgb="00065F46"/>
      <sz val="11"/>
    </font>
    <font>
      <name val="Arial"/>
      <b val="1"/>
      <color rgb="00FFFFFF"/>
      <sz val="14"/>
    </font>
    <font>
      <name val="Arial"/>
      <b val="1"/>
      <color rgb="00374151"/>
      <sz val="10"/>
    </font>
    <font>
      <name val="Arial"/>
      <b val="1"/>
      <color rgb="001E1B4B"/>
      <sz val="13"/>
    </font>
    <font>
      <name val="Arial"/>
      <b val="1"/>
      <color rgb="00065F46"/>
      <sz val="13"/>
    </font>
    <font>
      <name val="Arial"/>
      <b val="1"/>
      <color rgb="005B21B6"/>
      <sz val="13"/>
    </font>
    <font>
      <name val="Arial"/>
      <b val="1"/>
      <color rgb="0092400E"/>
      <sz val="13"/>
    </font>
  </fonts>
  <fills count="11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  <fill>
      <patternFill patternType="solid">
        <fgColor rgb="001E1B4B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F8F7FF"/>
      </patternFill>
    </fill>
    <fill>
      <patternFill patternType="solid">
        <fgColor rgb="00EDE9FE"/>
      </patternFill>
    </fill>
    <fill>
      <patternFill patternType="solid">
        <fgColor rgb="00FEF3C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4" fontId="4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right" vertical="center"/>
    </xf>
    <xf numFmtId="4" fontId="8" fillId="6" borderId="1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center" vertical="center"/>
    </xf>
    <xf numFmtId="165" fontId="12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165" fontId="11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5" customWidth="1" min="3" max="3"/>
    <col width="34" customWidth="1" min="4" max="4"/>
    <col width="14" customWidth="1" min="5" max="5"/>
    <col width="12" customWidth="1" min="6" max="6"/>
    <col width="13" customWidth="1" min="7" max="7"/>
  </cols>
  <sheetData>
    <row r="1" ht="36" customHeight="1">
      <c r="A1" s="1" t="inlineStr">
        <is>
          <t>OrderPro — Orders Register</t>
        </is>
      </c>
    </row>
    <row r="2" ht="20" customHeight="1">
      <c r="A2" s="2" t="inlineStr">
        <is>
          <t>Generated: April 20, 2026  |  Demo Data — OrderPro v3.0</t>
        </is>
      </c>
    </row>
    <row r="4" ht="22" customHeight="1">
      <c r="A4" s="3" t="inlineStr">
        <is>
          <t>Order ID</t>
        </is>
      </c>
      <c r="B4" s="3" t="inlineStr">
        <is>
          <t>Customer Name</t>
        </is>
      </c>
      <c r="C4" s="3" t="inlineStr">
        <is>
          <t>Phone</t>
        </is>
      </c>
      <c r="D4" s="3" t="inlineStr">
        <is>
          <t>Product / Description</t>
        </is>
      </c>
      <c r="E4" s="3" t="inlineStr">
        <is>
          <t>Amount (Rs)</t>
        </is>
      </c>
      <c r="F4" s="3" t="inlineStr">
        <is>
          <t>Status</t>
        </is>
      </c>
      <c r="G4" s="3" t="inlineStr">
        <is>
          <t>Date</t>
        </is>
      </c>
    </row>
    <row r="5" ht="20" customHeight="1">
      <c r="A5" s="4" t="inlineStr">
        <is>
          <t>ORD-001</t>
        </is>
      </c>
      <c r="B5" s="5" t="inlineStr">
        <is>
          <t>Ahmed Raza</t>
        </is>
      </c>
      <c r="C5" s="5" t="inlineStr">
        <is>
          <t>03001111001</t>
        </is>
      </c>
      <c r="D5" s="5" t="inlineStr">
        <is>
          <t>Premium Wireless Headphones</t>
        </is>
      </c>
      <c r="E5" s="6" t="n">
        <v>3500</v>
      </c>
      <c r="F5" s="7" t="inlineStr">
        <is>
          <t>Delivered</t>
        </is>
      </c>
      <c r="G5" s="8" t="inlineStr">
        <is>
          <t>2026-01-05</t>
        </is>
      </c>
    </row>
    <row r="6" ht="20" customHeight="1">
      <c r="A6" s="9" t="inlineStr">
        <is>
          <t>ORD-002</t>
        </is>
      </c>
      <c r="B6" s="10" t="inlineStr">
        <is>
          <t>Sara Khan</t>
        </is>
      </c>
      <c r="C6" s="10" t="inlineStr">
        <is>
          <t>03002222002</t>
        </is>
      </c>
      <c r="D6" s="10" t="inlineStr">
        <is>
          <t>Leather Laptop Bag</t>
        </is>
      </c>
      <c r="E6" s="11" t="n">
        <v>2800</v>
      </c>
      <c r="F6" s="7" t="inlineStr">
        <is>
          <t>Delivered</t>
        </is>
      </c>
      <c r="G6" s="12" t="inlineStr">
        <is>
          <t>2026-01-07</t>
        </is>
      </c>
    </row>
    <row r="7" ht="20" customHeight="1">
      <c r="A7" s="4" t="inlineStr">
        <is>
          <t>ORD-003</t>
        </is>
      </c>
      <c r="B7" s="5" t="inlineStr">
        <is>
          <t>Bilal Chaudhry</t>
        </is>
      </c>
      <c r="C7" s="5" t="inlineStr">
        <is>
          <t>03003333003</t>
        </is>
      </c>
      <c r="D7" s="5" t="inlineStr">
        <is>
          <t>Mechanical Keyboard</t>
        </is>
      </c>
      <c r="E7" s="6" t="n">
        <v>4200</v>
      </c>
      <c r="F7" s="7" t="inlineStr">
        <is>
          <t>Delivered</t>
        </is>
      </c>
      <c r="G7" s="8" t="inlineStr">
        <is>
          <t>2026-01-10</t>
        </is>
      </c>
    </row>
    <row r="8" ht="20" customHeight="1">
      <c r="A8" s="9" t="inlineStr">
        <is>
          <t>ORD-004</t>
        </is>
      </c>
      <c r="B8" s="10" t="inlineStr">
        <is>
          <t>Fatima Malik</t>
        </is>
      </c>
      <c r="C8" s="10" t="inlineStr">
        <is>
          <t>03004444004</t>
        </is>
      </c>
      <c r="D8" s="10" t="inlineStr">
        <is>
          <t>USB-C Hub 7-in-1</t>
        </is>
      </c>
      <c r="E8" s="11" t="n">
        <v>1800</v>
      </c>
      <c r="F8" s="7" t="inlineStr">
        <is>
          <t>Delivered</t>
        </is>
      </c>
      <c r="G8" s="12" t="inlineStr">
        <is>
          <t>2026-01-12</t>
        </is>
      </c>
    </row>
    <row r="9" ht="20" customHeight="1">
      <c r="A9" s="4" t="inlineStr">
        <is>
          <t>ORD-005</t>
        </is>
      </c>
      <c r="B9" s="5" t="inlineStr">
        <is>
          <t>Usman Tariq</t>
        </is>
      </c>
      <c r="C9" s="5" t="inlineStr">
        <is>
          <t>03005555005</t>
        </is>
      </c>
      <c r="D9" s="5" t="inlineStr">
        <is>
          <t>Smart Watch Series 8</t>
        </is>
      </c>
      <c r="E9" s="6" t="n">
        <v>9500</v>
      </c>
      <c r="F9" s="7" t="inlineStr">
        <is>
          <t>Delivered</t>
        </is>
      </c>
      <c r="G9" s="8" t="inlineStr">
        <is>
          <t>2026-01-15</t>
        </is>
      </c>
    </row>
    <row r="10" ht="20" customHeight="1">
      <c r="A10" s="9" t="inlineStr">
        <is>
          <t>ORD-006</t>
        </is>
      </c>
      <c r="B10" s="10" t="inlineStr">
        <is>
          <t>Ayesha Siddiqui</t>
        </is>
      </c>
      <c r="C10" s="10" t="inlineStr">
        <is>
          <t>03006666006</t>
        </is>
      </c>
      <c r="D10" s="10" t="inlineStr">
        <is>
          <t>Portable Bluetooth Speaker</t>
        </is>
      </c>
      <c r="E10" s="11" t="n">
        <v>2200</v>
      </c>
      <c r="F10" s="7" t="inlineStr">
        <is>
          <t>Delivered</t>
        </is>
      </c>
      <c r="G10" s="12" t="inlineStr">
        <is>
          <t>2026-01-18</t>
        </is>
      </c>
    </row>
    <row r="11" ht="20" customHeight="1">
      <c r="A11" s="4" t="inlineStr">
        <is>
          <t>ORD-007</t>
        </is>
      </c>
      <c r="B11" s="5" t="inlineStr">
        <is>
          <t>Hassan Javed</t>
        </is>
      </c>
      <c r="C11" s="5" t="inlineStr">
        <is>
          <t>03007777007</t>
        </is>
      </c>
      <c r="D11" s="5" t="inlineStr">
        <is>
          <t>Noise Cancelling Earbuds</t>
        </is>
      </c>
      <c r="E11" s="6" t="n">
        <v>5500</v>
      </c>
      <c r="F11" s="7" t="inlineStr">
        <is>
          <t>Delivered</t>
        </is>
      </c>
      <c r="G11" s="8" t="inlineStr">
        <is>
          <t>2026-01-20</t>
        </is>
      </c>
    </row>
    <row r="12" ht="20" customHeight="1">
      <c r="A12" s="9" t="inlineStr">
        <is>
          <t>ORD-008</t>
        </is>
      </c>
      <c r="B12" s="10" t="inlineStr">
        <is>
          <t>Zainab Hussain</t>
        </is>
      </c>
      <c r="C12" s="10" t="inlineStr">
        <is>
          <t>03008888008</t>
        </is>
      </c>
      <c r="D12" s="10" t="inlineStr">
        <is>
          <t>Webcam HD 1080p</t>
        </is>
      </c>
      <c r="E12" s="11" t="n">
        <v>3100</v>
      </c>
      <c r="F12" s="7" t="inlineStr">
        <is>
          <t>Delivered</t>
        </is>
      </c>
      <c r="G12" s="12" t="inlineStr">
        <is>
          <t>2026-01-22</t>
        </is>
      </c>
    </row>
    <row r="13" ht="20" customHeight="1">
      <c r="A13" s="4" t="inlineStr">
        <is>
          <t>ORD-009</t>
        </is>
      </c>
      <c r="B13" s="5" t="inlineStr">
        <is>
          <t>Kamran Sheikh</t>
        </is>
      </c>
      <c r="C13" s="5" t="inlineStr">
        <is>
          <t>03009999009</t>
        </is>
      </c>
      <c r="D13" s="5" t="inlineStr">
        <is>
          <t>Gaming Mouse RGB</t>
        </is>
      </c>
      <c r="E13" s="6" t="n">
        <v>1950</v>
      </c>
      <c r="F13" s="7" t="inlineStr">
        <is>
          <t>Delivered</t>
        </is>
      </c>
      <c r="G13" s="8" t="inlineStr">
        <is>
          <t>2026-01-25</t>
        </is>
      </c>
    </row>
    <row r="14" ht="20" customHeight="1">
      <c r="A14" s="9" t="inlineStr">
        <is>
          <t>ORD-010</t>
        </is>
      </c>
      <c r="B14" s="10" t="inlineStr">
        <is>
          <t>Nadia Iqbal</t>
        </is>
      </c>
      <c r="C14" s="10" t="inlineStr">
        <is>
          <t>03001234510</t>
        </is>
      </c>
      <c r="D14" s="10" t="inlineStr">
        <is>
          <t>Desk Organizer Set</t>
        </is>
      </c>
      <c r="E14" s="11" t="n">
        <v>850</v>
      </c>
      <c r="F14" s="7" t="inlineStr">
        <is>
          <t>Delivered</t>
        </is>
      </c>
      <c r="G14" s="12" t="inlineStr">
        <is>
          <t>2026-01-28</t>
        </is>
      </c>
    </row>
    <row r="15" ht="20" customHeight="1">
      <c r="A15" s="4" t="inlineStr">
        <is>
          <t>ORD-011</t>
        </is>
      </c>
      <c r="B15" s="5" t="inlineStr">
        <is>
          <t>Ahmed Raza</t>
        </is>
      </c>
      <c r="C15" s="5" t="inlineStr">
        <is>
          <t>03001111001</t>
        </is>
      </c>
      <c r="D15" s="5" t="inlineStr">
        <is>
          <t>Monitor Stand Adjustable</t>
        </is>
      </c>
      <c r="E15" s="6" t="n">
        <v>2100</v>
      </c>
      <c r="F15" s="7" t="inlineStr">
        <is>
          <t>Delivered</t>
        </is>
      </c>
      <c r="G15" s="8" t="inlineStr">
        <is>
          <t>2026-02-02</t>
        </is>
      </c>
    </row>
    <row r="16" ht="20" customHeight="1">
      <c r="A16" s="9" t="inlineStr">
        <is>
          <t>ORD-012</t>
        </is>
      </c>
      <c r="B16" s="10" t="inlineStr">
        <is>
          <t>Sara Khan</t>
        </is>
      </c>
      <c r="C16" s="10" t="inlineStr">
        <is>
          <t>03002222002</t>
        </is>
      </c>
      <c r="D16" s="10" t="inlineStr">
        <is>
          <t>Wireless Charging Pad</t>
        </is>
      </c>
      <c r="E16" s="11" t="n">
        <v>1200</v>
      </c>
      <c r="F16" s="7" t="inlineStr">
        <is>
          <t>Delivered</t>
        </is>
      </c>
      <c r="G16" s="12" t="inlineStr">
        <is>
          <t>2026-02-05</t>
        </is>
      </c>
    </row>
    <row r="17" ht="20" customHeight="1">
      <c r="A17" s="4" t="inlineStr">
        <is>
          <t>ORD-013</t>
        </is>
      </c>
      <c r="B17" s="5" t="inlineStr">
        <is>
          <t>Bilal Chaudhry</t>
        </is>
      </c>
      <c r="C17" s="5" t="inlineStr">
        <is>
          <t>03003333003</t>
        </is>
      </c>
      <c r="D17" s="5" t="inlineStr">
        <is>
          <t>Smart Home LED Bulbs (4 Pack)</t>
        </is>
      </c>
      <c r="E17" s="6" t="n">
        <v>1600</v>
      </c>
      <c r="F17" s="7" t="inlineStr">
        <is>
          <t>Delivered</t>
        </is>
      </c>
      <c r="G17" s="8" t="inlineStr">
        <is>
          <t>2026-02-08</t>
        </is>
      </c>
    </row>
    <row r="18" ht="20" customHeight="1">
      <c r="A18" s="9" t="inlineStr">
        <is>
          <t>ORD-014</t>
        </is>
      </c>
      <c r="B18" s="10" t="inlineStr">
        <is>
          <t>Tariq Mehmood</t>
        </is>
      </c>
      <c r="C18" s="10" t="inlineStr">
        <is>
          <t>03001234514</t>
        </is>
      </c>
      <c r="D18" s="10" t="inlineStr">
        <is>
          <t>Portable Power Bank 20000mAh</t>
        </is>
      </c>
      <c r="E18" s="11" t="n">
        <v>2750</v>
      </c>
      <c r="F18" s="7" t="inlineStr">
        <is>
          <t>Delivered</t>
        </is>
      </c>
      <c r="G18" s="12" t="inlineStr">
        <is>
          <t>2026-02-10</t>
        </is>
      </c>
    </row>
    <row r="19" ht="20" customHeight="1">
      <c r="A19" s="4" t="inlineStr">
        <is>
          <t>ORD-015</t>
        </is>
      </c>
      <c r="B19" s="5" t="inlineStr">
        <is>
          <t>Hina Baig</t>
        </is>
      </c>
      <c r="C19" s="5" t="inlineStr">
        <is>
          <t>03001234515</t>
        </is>
      </c>
      <c r="D19" s="5" t="inlineStr">
        <is>
          <t>Laptop Cooling Pad</t>
        </is>
      </c>
      <c r="E19" s="6" t="n">
        <v>1450</v>
      </c>
      <c r="F19" s="7" t="inlineStr">
        <is>
          <t>Delivered</t>
        </is>
      </c>
      <c r="G19" s="8" t="inlineStr">
        <is>
          <t>2026-02-13</t>
        </is>
      </c>
    </row>
    <row r="20" ht="20" customHeight="1">
      <c r="A20" s="9" t="inlineStr">
        <is>
          <t>ORD-016</t>
        </is>
      </c>
      <c r="B20" s="10" t="inlineStr">
        <is>
          <t>Omer Farooq</t>
        </is>
      </c>
      <c r="C20" s="10" t="inlineStr">
        <is>
          <t>03001234516</t>
        </is>
      </c>
      <c r="D20" s="10" t="inlineStr">
        <is>
          <t>Ergonomic Office Chair</t>
        </is>
      </c>
      <c r="E20" s="11" t="n">
        <v>18500</v>
      </c>
      <c r="F20" s="7" t="inlineStr">
        <is>
          <t>Delivered</t>
        </is>
      </c>
      <c r="G20" s="12" t="inlineStr">
        <is>
          <t>2026-02-15</t>
        </is>
      </c>
    </row>
    <row r="21" ht="20" customHeight="1">
      <c r="A21" s="4" t="inlineStr">
        <is>
          <t>ORD-017</t>
        </is>
      </c>
      <c r="B21" s="5" t="inlineStr">
        <is>
          <t>Mariam Zahid</t>
        </is>
      </c>
      <c r="C21" s="5" t="inlineStr">
        <is>
          <t>03001234517</t>
        </is>
      </c>
      <c r="D21" s="5" t="inlineStr">
        <is>
          <t>Standing Desk Converter</t>
        </is>
      </c>
      <c r="E21" s="6" t="n">
        <v>12000</v>
      </c>
      <c r="F21" s="13" t="inlineStr">
        <is>
          <t>Sent</t>
        </is>
      </c>
      <c r="G21" s="8" t="inlineStr">
        <is>
          <t>2026-02-18</t>
        </is>
      </c>
    </row>
    <row r="22" ht="20" customHeight="1">
      <c r="A22" s="9" t="inlineStr">
        <is>
          <t>ORD-018</t>
        </is>
      </c>
      <c r="B22" s="10" t="inlineStr">
        <is>
          <t>Asad Nawaz</t>
        </is>
      </c>
      <c r="C22" s="10" t="inlineStr">
        <is>
          <t>03001234518</t>
        </is>
      </c>
      <c r="D22" s="10" t="inlineStr">
        <is>
          <t>4K Portable Monitor</t>
        </is>
      </c>
      <c r="E22" s="11" t="n">
        <v>22000</v>
      </c>
      <c r="F22" s="13" t="inlineStr">
        <is>
          <t>Sent</t>
        </is>
      </c>
      <c r="G22" s="12" t="inlineStr">
        <is>
          <t>2026-02-20</t>
        </is>
      </c>
    </row>
    <row r="23" ht="20" customHeight="1">
      <c r="A23" s="4" t="inlineStr">
        <is>
          <t>ORD-019</t>
        </is>
      </c>
      <c r="B23" s="5" t="inlineStr">
        <is>
          <t>Sana Mirza</t>
        </is>
      </c>
      <c r="C23" s="5" t="inlineStr">
        <is>
          <t>03001234519</t>
        </is>
      </c>
      <c r="D23" s="5" t="inlineStr">
        <is>
          <t>Smart Security Camera</t>
        </is>
      </c>
      <c r="E23" s="6" t="n">
        <v>7800</v>
      </c>
      <c r="F23" s="13" t="inlineStr">
        <is>
          <t>Sent</t>
        </is>
      </c>
      <c r="G23" s="8" t="inlineStr">
        <is>
          <t>2026-02-22</t>
        </is>
      </c>
    </row>
    <row r="24" ht="20" customHeight="1">
      <c r="A24" s="9" t="inlineStr">
        <is>
          <t>ORD-020</t>
        </is>
      </c>
      <c r="B24" s="10" t="inlineStr">
        <is>
          <t>Junaid Qureshi</t>
        </is>
      </c>
      <c r="C24" s="10" t="inlineStr">
        <is>
          <t>03001234520</t>
        </is>
      </c>
      <c r="D24" s="10" t="inlineStr">
        <is>
          <t>Mechanical Numpad</t>
        </is>
      </c>
      <c r="E24" s="11" t="n">
        <v>2400</v>
      </c>
      <c r="F24" s="13" t="inlineStr">
        <is>
          <t>Sent</t>
        </is>
      </c>
      <c r="G24" s="12" t="inlineStr">
        <is>
          <t>2026-02-25</t>
        </is>
      </c>
    </row>
    <row r="25" ht="20" customHeight="1">
      <c r="A25" s="4" t="inlineStr">
        <is>
          <t>ORD-021</t>
        </is>
      </c>
      <c r="B25" s="5" t="inlineStr">
        <is>
          <t>Ahmed Raza</t>
        </is>
      </c>
      <c r="C25" s="5" t="inlineStr">
        <is>
          <t>03001111001</t>
        </is>
      </c>
      <c r="D25" s="5" t="inlineStr">
        <is>
          <t>NVMe SSD 1TB</t>
        </is>
      </c>
      <c r="E25" s="6" t="n">
        <v>8500</v>
      </c>
      <c r="F25" s="14" t="inlineStr">
        <is>
          <t>Pending</t>
        </is>
      </c>
      <c r="G25" s="8" t="inlineStr">
        <is>
          <t>2026-03-01</t>
        </is>
      </c>
    </row>
    <row r="26" ht="20" customHeight="1">
      <c r="A26" s="9" t="inlineStr">
        <is>
          <t>ORD-022</t>
        </is>
      </c>
      <c r="B26" s="10" t="inlineStr">
        <is>
          <t>Fatima Malik</t>
        </is>
      </c>
      <c r="C26" s="10" t="inlineStr">
        <is>
          <t>03004444004</t>
        </is>
      </c>
      <c r="D26" s="10" t="inlineStr">
        <is>
          <t>RAM 16GB DDR5</t>
        </is>
      </c>
      <c r="E26" s="11" t="n">
        <v>6200</v>
      </c>
      <c r="F26" s="14" t="inlineStr">
        <is>
          <t>Pending</t>
        </is>
      </c>
      <c r="G26" s="12" t="inlineStr">
        <is>
          <t>2026-03-03</t>
        </is>
      </c>
    </row>
    <row r="27" ht="20" customHeight="1">
      <c r="A27" s="4" t="inlineStr">
        <is>
          <t>ORD-023</t>
        </is>
      </c>
      <c r="B27" s="5" t="inlineStr">
        <is>
          <t>Hassan Javed</t>
        </is>
      </c>
      <c r="C27" s="5" t="inlineStr">
        <is>
          <t>03007777007</t>
        </is>
      </c>
      <c r="D27" s="5" t="inlineStr">
        <is>
          <t>GPU Cooling Fan Set</t>
        </is>
      </c>
      <c r="E27" s="6" t="n">
        <v>3300</v>
      </c>
      <c r="F27" s="14" t="inlineStr">
        <is>
          <t>Pending</t>
        </is>
      </c>
      <c r="G27" s="8" t="inlineStr">
        <is>
          <t>2026-03-05</t>
        </is>
      </c>
    </row>
    <row r="28" ht="20" customHeight="1">
      <c r="A28" s="9" t="inlineStr">
        <is>
          <t>ORD-024</t>
        </is>
      </c>
      <c r="B28" s="10" t="inlineStr">
        <is>
          <t>Nadia Iqbal</t>
        </is>
      </c>
      <c r="C28" s="10" t="inlineStr">
        <is>
          <t>03001234510</t>
        </is>
      </c>
      <c r="D28" s="10" t="inlineStr">
        <is>
          <t>Cable Management Kit</t>
        </is>
      </c>
      <c r="E28" s="11" t="n">
        <v>950</v>
      </c>
      <c r="F28" s="14" t="inlineStr">
        <is>
          <t>Pending</t>
        </is>
      </c>
      <c r="G28" s="12" t="inlineStr">
        <is>
          <t>2026-03-07</t>
        </is>
      </c>
    </row>
    <row r="29" ht="20" customHeight="1">
      <c r="A29" s="4" t="inlineStr">
        <is>
          <t>ORD-025</t>
        </is>
      </c>
      <c r="B29" s="5" t="inlineStr">
        <is>
          <t>Kamran Sheikh</t>
        </is>
      </c>
      <c r="C29" s="5" t="inlineStr">
        <is>
          <t>03009999009</t>
        </is>
      </c>
      <c r="D29" s="5" t="inlineStr">
        <is>
          <t>Dual Monitor Arm</t>
        </is>
      </c>
      <c r="E29" s="6" t="n">
        <v>5800</v>
      </c>
      <c r="F29" s="14" t="inlineStr">
        <is>
          <t>Pending</t>
        </is>
      </c>
      <c r="G29" s="8" t="inlineStr">
        <is>
          <t>2026-03-09</t>
        </is>
      </c>
    </row>
    <row r="30" ht="20" customHeight="1">
      <c r="A30" s="9" t="inlineStr">
        <is>
          <t>ORD-026</t>
        </is>
      </c>
      <c r="B30" s="10" t="inlineStr">
        <is>
          <t>Sana Mirza</t>
        </is>
      </c>
      <c r="C30" s="10" t="inlineStr">
        <is>
          <t>03001234519</t>
        </is>
      </c>
      <c r="D30" s="10" t="inlineStr">
        <is>
          <t>Laptop Privacy Screen</t>
        </is>
      </c>
      <c r="E30" s="11" t="n">
        <v>2600</v>
      </c>
      <c r="F30" s="14" t="inlineStr">
        <is>
          <t>Pending</t>
        </is>
      </c>
      <c r="G30" s="12" t="inlineStr">
        <is>
          <t>2026-03-10</t>
        </is>
      </c>
    </row>
    <row r="31" ht="20" customHeight="1">
      <c r="A31" s="4" t="inlineStr">
        <is>
          <t>ORD-027</t>
        </is>
      </c>
      <c r="B31" s="5" t="inlineStr">
        <is>
          <t>Mariam Zahid</t>
        </is>
      </c>
      <c r="C31" s="5" t="inlineStr">
        <is>
          <t>03001234517</t>
        </is>
      </c>
      <c r="D31" s="5" t="inlineStr">
        <is>
          <t>Smart Plug Wi-Fi (2 Pack)</t>
        </is>
      </c>
      <c r="E31" s="6" t="n">
        <v>1800</v>
      </c>
      <c r="F31" s="14" t="inlineStr">
        <is>
          <t>Pending</t>
        </is>
      </c>
      <c r="G31" s="8" t="inlineStr">
        <is>
          <t>2026-03-12</t>
        </is>
      </c>
    </row>
    <row r="32" ht="20" customHeight="1">
      <c r="A32" s="9" t="inlineStr">
        <is>
          <t>ORD-028</t>
        </is>
      </c>
      <c r="B32" s="10" t="inlineStr">
        <is>
          <t>Usman Tariq</t>
        </is>
      </c>
      <c r="C32" s="10" t="inlineStr">
        <is>
          <t>03005555005</t>
        </is>
      </c>
      <c r="D32" s="10" t="inlineStr">
        <is>
          <t>Portable Projector Mini</t>
        </is>
      </c>
      <c r="E32" s="11" t="n">
        <v>14500</v>
      </c>
      <c r="F32" s="14" t="inlineStr">
        <is>
          <t>Pending</t>
        </is>
      </c>
      <c r="G32" s="12" t="inlineStr">
        <is>
          <t>2026-03-14</t>
        </is>
      </c>
    </row>
    <row r="33" ht="20" customHeight="1">
      <c r="A33" s="4" t="inlineStr">
        <is>
          <t>ORD-029</t>
        </is>
      </c>
      <c r="B33" s="5" t="inlineStr">
        <is>
          <t>Ayesha Siddiqui</t>
        </is>
      </c>
      <c r="C33" s="5" t="inlineStr">
        <is>
          <t>03006666006</t>
        </is>
      </c>
      <c r="D33" s="5" t="inlineStr">
        <is>
          <t>Digital Drawing Tablet</t>
        </is>
      </c>
      <c r="E33" s="6" t="n">
        <v>8900</v>
      </c>
      <c r="F33" s="14" t="inlineStr">
        <is>
          <t>Pending</t>
        </is>
      </c>
      <c r="G33" s="8" t="inlineStr">
        <is>
          <t>2026-03-15</t>
        </is>
      </c>
    </row>
    <row r="34" ht="20" customHeight="1">
      <c r="A34" s="9" t="inlineStr">
        <is>
          <t>ORD-030</t>
        </is>
      </c>
      <c r="B34" s="10" t="inlineStr">
        <is>
          <t>Tariq Mehmood</t>
        </is>
      </c>
      <c r="C34" s="10" t="inlineStr">
        <is>
          <t>03001234514</t>
        </is>
      </c>
      <c r="D34" s="10" t="inlineStr">
        <is>
          <t>VR Headset Standalone</t>
        </is>
      </c>
      <c r="E34" s="11" t="n">
        <v>35000</v>
      </c>
      <c r="F34" s="14" t="inlineStr">
        <is>
          <t>Pending</t>
        </is>
      </c>
      <c r="G34" s="12" t="inlineStr">
        <is>
          <t>2026-03-16</t>
        </is>
      </c>
    </row>
    <row r="35" ht="24" customHeight="1">
      <c r="A35" s="15" t="n"/>
      <c r="B35" s="15" t="n"/>
      <c r="C35" s="15" t="n"/>
      <c r="D35" s="16" t="inlineStr">
        <is>
          <t>TOTAL</t>
        </is>
      </c>
      <c r="E35" s="17">
        <f>SUM(E5:E34)</f>
        <v/>
      </c>
      <c r="F35" s="15" t="n"/>
      <c r="G35" s="15" t="n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5" customWidth="1" min="3" max="3"/>
    <col width="20" customWidth="1" min="4" max="4"/>
  </cols>
  <sheetData>
    <row r="1" ht="34" customHeight="1">
      <c r="A1" s="18" t="inlineStr">
        <is>
          <t>OrderPro — Summary Dashboard</t>
        </is>
      </c>
    </row>
    <row r="2" ht="18" customHeight="1">
      <c r="A2" s="2" t="inlineStr">
        <is>
          <t>Auto-calculated from Orders sheet  |  April 20, 2026</t>
        </is>
      </c>
    </row>
    <row r="4" ht="26" customHeight="1">
      <c r="A4" s="19" t="inlineStr">
        <is>
          <t>Total Orders</t>
        </is>
      </c>
      <c r="B4" s="20">
        <f>COUNTA(Orders!A5:A34)</f>
        <v/>
      </c>
    </row>
    <row r="6" ht="26" customHeight="1">
      <c r="A6" s="19" t="inlineStr">
        <is>
          <t>Total Revenue</t>
        </is>
      </c>
      <c r="B6" s="21">
        <f>Orders!E35</f>
        <v/>
      </c>
    </row>
    <row r="8" ht="26" customHeight="1">
      <c r="A8" s="19" t="inlineStr">
        <is>
          <t>Delivered Orders</t>
        </is>
      </c>
      <c r="B8" s="22">
        <f>COUNTIF(Orders!F5:F34,"Delivered")</f>
        <v/>
      </c>
    </row>
    <row r="10" ht="26" customHeight="1">
      <c r="A10" s="19" t="inlineStr">
        <is>
          <t>Sent Orders</t>
        </is>
      </c>
      <c r="B10" s="23">
        <f>COUNTIF(Orders!F5:F34,"Sent")</f>
        <v/>
      </c>
    </row>
    <row r="12" ht="26" customHeight="1">
      <c r="A12" s="19" t="inlineStr">
        <is>
          <t>Pending Orders</t>
        </is>
      </c>
      <c r="B12" s="24">
        <f>COUNTIF(Orders!F5:F34,"Pending")</f>
        <v/>
      </c>
    </row>
    <row r="14" ht="26" customHeight="1">
      <c r="A14" s="19" t="inlineStr">
        <is>
          <t>Avg Order Value</t>
        </is>
      </c>
      <c r="B14" s="25">
        <f>Orders!E35/COUNTA(Orders!A5:A34)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8" customWidth="1" min="4" max="4"/>
    <col width="16" customWidth="1" min="5" max="5"/>
  </cols>
  <sheetData>
    <row r="1" ht="34" customHeight="1">
      <c r="A1" s="18" t="inlineStr">
        <is>
          <t>Customer Register</t>
        </is>
      </c>
    </row>
    <row r="3" ht="22" customHeight="1">
      <c r="A3" s="26" t="inlineStr">
        <is>
          <t>Customer Name</t>
        </is>
      </c>
      <c r="B3" s="26" t="inlineStr">
        <is>
          <t>Phone</t>
        </is>
      </c>
      <c r="C3" s="26" t="inlineStr">
        <is>
          <t>Total Orders</t>
        </is>
      </c>
      <c r="D3" s="26" t="inlineStr">
        <is>
          <t>Total Spent (Rs)</t>
        </is>
      </c>
      <c r="E3" s="26" t="inlineStr">
        <is>
          <t>Last Order Date</t>
        </is>
      </c>
    </row>
    <row r="4" ht="20" customHeight="1">
      <c r="A4" s="10" t="inlineStr">
        <is>
          <t>Ahmed Raza</t>
        </is>
      </c>
      <c r="B4" s="10" t="inlineStr">
        <is>
          <t>03001111001</t>
        </is>
      </c>
      <c r="C4" s="9" t="n">
        <v>3</v>
      </c>
      <c r="D4" s="11" t="n">
        <v>14100</v>
      </c>
      <c r="E4" s="9" t="inlineStr">
        <is>
          <t>2026-03-01</t>
        </is>
      </c>
    </row>
    <row r="5" ht="20" customHeight="1">
      <c r="A5" s="5" t="inlineStr">
        <is>
          <t>Asad Nawaz</t>
        </is>
      </c>
      <c r="B5" s="5" t="inlineStr">
        <is>
          <t>03001234518</t>
        </is>
      </c>
      <c r="C5" s="4" t="n">
        <v>1</v>
      </c>
      <c r="D5" s="6" t="n">
        <v>22000</v>
      </c>
      <c r="E5" s="4" t="inlineStr">
        <is>
          <t>2026-02-20</t>
        </is>
      </c>
    </row>
    <row r="6" ht="20" customHeight="1">
      <c r="A6" s="10" t="inlineStr">
        <is>
          <t>Ayesha Siddiqui</t>
        </is>
      </c>
      <c r="B6" s="10" t="inlineStr">
        <is>
          <t>03006666006</t>
        </is>
      </c>
      <c r="C6" s="9" t="n">
        <v>2</v>
      </c>
      <c r="D6" s="11" t="n">
        <v>11100</v>
      </c>
      <c r="E6" s="9" t="inlineStr">
        <is>
          <t>2026-03-15</t>
        </is>
      </c>
    </row>
    <row r="7" ht="20" customHeight="1">
      <c r="A7" s="5" t="inlineStr">
        <is>
          <t>Bilal Chaudhry</t>
        </is>
      </c>
      <c r="B7" s="5" t="inlineStr">
        <is>
          <t>03003333003</t>
        </is>
      </c>
      <c r="C7" s="4" t="n">
        <v>2</v>
      </c>
      <c r="D7" s="6" t="n">
        <v>5800</v>
      </c>
      <c r="E7" s="4" t="inlineStr">
        <is>
          <t>2026-02-08</t>
        </is>
      </c>
    </row>
    <row r="8" ht="20" customHeight="1">
      <c r="A8" s="10" t="inlineStr">
        <is>
          <t>Fatima Malik</t>
        </is>
      </c>
      <c r="B8" s="10" t="inlineStr">
        <is>
          <t>03004444004</t>
        </is>
      </c>
      <c r="C8" s="9" t="n">
        <v>2</v>
      </c>
      <c r="D8" s="11" t="n">
        <v>8000</v>
      </c>
      <c r="E8" s="9" t="inlineStr">
        <is>
          <t>2026-03-03</t>
        </is>
      </c>
    </row>
    <row r="9" ht="20" customHeight="1">
      <c r="A9" s="5" t="inlineStr">
        <is>
          <t>Hassan Javed</t>
        </is>
      </c>
      <c r="B9" s="5" t="inlineStr">
        <is>
          <t>03007777007</t>
        </is>
      </c>
      <c r="C9" s="4" t="n">
        <v>2</v>
      </c>
      <c r="D9" s="6" t="n">
        <v>8800</v>
      </c>
      <c r="E9" s="4" t="inlineStr">
        <is>
          <t>2026-03-05</t>
        </is>
      </c>
    </row>
    <row r="10" ht="20" customHeight="1">
      <c r="A10" s="10" t="inlineStr">
        <is>
          <t>Hina Baig</t>
        </is>
      </c>
      <c r="B10" s="10" t="inlineStr">
        <is>
          <t>03001234515</t>
        </is>
      </c>
      <c r="C10" s="9" t="n">
        <v>1</v>
      </c>
      <c r="D10" s="11" t="n">
        <v>1450</v>
      </c>
      <c r="E10" s="9" t="inlineStr">
        <is>
          <t>2026-02-13</t>
        </is>
      </c>
    </row>
    <row r="11" ht="20" customHeight="1">
      <c r="A11" s="5" t="inlineStr">
        <is>
          <t>Junaid Qureshi</t>
        </is>
      </c>
      <c r="B11" s="5" t="inlineStr">
        <is>
          <t>03001234520</t>
        </is>
      </c>
      <c r="C11" s="4" t="n">
        <v>1</v>
      </c>
      <c r="D11" s="6" t="n">
        <v>2400</v>
      </c>
      <c r="E11" s="4" t="inlineStr">
        <is>
          <t>2026-02-25</t>
        </is>
      </c>
    </row>
    <row r="12" ht="20" customHeight="1">
      <c r="A12" s="10" t="inlineStr">
        <is>
          <t>Kamran Sheikh</t>
        </is>
      </c>
      <c r="B12" s="10" t="inlineStr">
        <is>
          <t>03009999009</t>
        </is>
      </c>
      <c r="C12" s="9" t="n">
        <v>2</v>
      </c>
      <c r="D12" s="11" t="n">
        <v>7750</v>
      </c>
      <c r="E12" s="9" t="inlineStr">
        <is>
          <t>2026-03-09</t>
        </is>
      </c>
    </row>
    <row r="13" ht="20" customHeight="1">
      <c r="A13" s="5" t="inlineStr">
        <is>
          <t>Mariam Zahid</t>
        </is>
      </c>
      <c r="B13" s="5" t="inlineStr">
        <is>
          <t>03001234517</t>
        </is>
      </c>
      <c r="C13" s="4" t="n">
        <v>2</v>
      </c>
      <c r="D13" s="6" t="n">
        <v>13800</v>
      </c>
      <c r="E13" s="4" t="inlineStr">
        <is>
          <t>2026-03-12</t>
        </is>
      </c>
    </row>
    <row r="14" ht="20" customHeight="1">
      <c r="A14" s="10" t="inlineStr">
        <is>
          <t>Nadia Iqbal</t>
        </is>
      </c>
      <c r="B14" s="10" t="inlineStr">
        <is>
          <t>03001234510</t>
        </is>
      </c>
      <c r="C14" s="9" t="n">
        <v>2</v>
      </c>
      <c r="D14" s="11" t="n">
        <v>1800</v>
      </c>
      <c r="E14" s="9" t="inlineStr">
        <is>
          <t>2026-03-07</t>
        </is>
      </c>
    </row>
    <row r="15" ht="20" customHeight="1">
      <c r="A15" s="5" t="inlineStr">
        <is>
          <t>Omer Farooq</t>
        </is>
      </c>
      <c r="B15" s="5" t="inlineStr">
        <is>
          <t>03001234516</t>
        </is>
      </c>
      <c r="C15" s="4" t="n">
        <v>1</v>
      </c>
      <c r="D15" s="6" t="n">
        <v>18500</v>
      </c>
      <c r="E15" s="4" t="inlineStr">
        <is>
          <t>2026-02-15</t>
        </is>
      </c>
    </row>
    <row r="16" ht="20" customHeight="1">
      <c r="A16" s="10" t="inlineStr">
        <is>
          <t>Sana Mirza</t>
        </is>
      </c>
      <c r="B16" s="10" t="inlineStr">
        <is>
          <t>03001234519</t>
        </is>
      </c>
      <c r="C16" s="9" t="n">
        <v>2</v>
      </c>
      <c r="D16" s="11" t="n">
        <v>10400</v>
      </c>
      <c r="E16" s="9" t="inlineStr">
        <is>
          <t>2026-03-10</t>
        </is>
      </c>
    </row>
    <row r="17" ht="20" customHeight="1">
      <c r="A17" s="5" t="inlineStr">
        <is>
          <t>Sara Khan</t>
        </is>
      </c>
      <c r="B17" s="5" t="inlineStr">
        <is>
          <t>03002222002</t>
        </is>
      </c>
      <c r="C17" s="4" t="n">
        <v>2</v>
      </c>
      <c r="D17" s="6" t="n">
        <v>4000</v>
      </c>
      <c r="E17" s="4" t="inlineStr">
        <is>
          <t>2026-02-05</t>
        </is>
      </c>
    </row>
    <row r="18" ht="20" customHeight="1">
      <c r="A18" s="10" t="inlineStr">
        <is>
          <t>Tariq Mehmood</t>
        </is>
      </c>
      <c r="B18" s="10" t="inlineStr">
        <is>
          <t>03001234514</t>
        </is>
      </c>
      <c r="C18" s="9" t="n">
        <v>2</v>
      </c>
      <c r="D18" s="11" t="n">
        <v>37750</v>
      </c>
      <c r="E18" s="9" t="inlineStr">
        <is>
          <t>2026-03-16</t>
        </is>
      </c>
    </row>
    <row r="19" ht="20" customHeight="1">
      <c r="A19" s="5" t="inlineStr">
        <is>
          <t>Usman Tariq</t>
        </is>
      </c>
      <c r="B19" s="5" t="inlineStr">
        <is>
          <t>03005555005</t>
        </is>
      </c>
      <c r="C19" s="4" t="n">
        <v>2</v>
      </c>
      <c r="D19" s="6" t="n">
        <v>24000</v>
      </c>
      <c r="E19" s="4" t="inlineStr">
        <is>
          <t>2026-03-14</t>
        </is>
      </c>
    </row>
    <row r="20" ht="20" customHeight="1">
      <c r="A20" s="10" t="inlineStr">
        <is>
          <t>Zainab Hussain</t>
        </is>
      </c>
      <c r="B20" s="10" t="inlineStr">
        <is>
          <t>03008888008</t>
        </is>
      </c>
      <c r="C20" s="9" t="n">
        <v>1</v>
      </c>
      <c r="D20" s="11" t="n">
        <v>3100</v>
      </c>
      <c r="E20" s="9" t="inlineStr">
        <is>
          <t>2026-01-22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2026-04-20T12:56:54Z</dcterms:created>
  <dcterms:modified xmlns:dcterms="http://purl.org/dc/terms/" xmlns:xsi="http://www.w3.org/2001/XMLSchema-instance" xsi:type="dcterms:W3CDTF">2026-04-20T12:56:54Z</dcterms:modified>
</cp:coreProperties>
</file>